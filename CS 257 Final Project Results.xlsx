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feng_wu/Desktop/学习/CS257_WirelessNetworks/cs257_project/"/>
    </mc:Choice>
  </mc:AlternateContent>
  <xr:revisionPtr revIDLastSave="0" documentId="13_ncr:1_{48A666F5-32BC-054D-9042-A7C12754A8EE}" xr6:coauthVersionLast="47" xr6:coauthVersionMax="47" xr10:uidLastSave="{00000000-0000-0000-0000-000000000000}"/>
  <bookViews>
    <workbookView xWindow="0" yWindow="760" windowWidth="34200" windowHeight="21380" activeTab="1" xr2:uid="{9E4BB535-B86A-5A45-A1E1-9B8456FD5581}"/>
  </bookViews>
  <sheets>
    <sheet name="Sheet1" sheetId="1" r:id="rId1"/>
    <sheet name="Final Resul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L7" i="2"/>
  <c r="L8" i="2"/>
  <c r="L5" i="2"/>
  <c r="I6" i="2"/>
  <c r="J6" i="2"/>
  <c r="K6" i="2"/>
  <c r="I7" i="2"/>
  <c r="J7" i="2"/>
  <c r="K7" i="2"/>
  <c r="I8" i="2"/>
  <c r="J8" i="2"/>
  <c r="K8" i="2"/>
  <c r="K5" i="2"/>
  <c r="J5" i="2"/>
  <c r="I5" i="2"/>
  <c r="C6" i="2"/>
  <c r="F6" i="2" s="1"/>
  <c r="D6" i="2"/>
  <c r="E6" i="2"/>
  <c r="C7" i="2"/>
  <c r="F7" i="2" s="1"/>
  <c r="D7" i="2"/>
  <c r="E7" i="2"/>
  <c r="C8" i="2"/>
  <c r="F8" i="2" s="1"/>
  <c r="D8" i="2"/>
  <c r="E8" i="2"/>
  <c r="E5" i="2"/>
  <c r="D5" i="2"/>
  <c r="C5" i="2"/>
  <c r="F5" i="2" s="1"/>
  <c r="L37" i="1"/>
  <c r="L38" i="1"/>
  <c r="L39" i="1"/>
  <c r="L36" i="1"/>
  <c r="L24" i="1"/>
  <c r="L25" i="1"/>
  <c r="L26" i="1"/>
  <c r="L23" i="1"/>
  <c r="L11" i="1"/>
  <c r="L12" i="1"/>
  <c r="L13" i="1"/>
  <c r="L10" i="1"/>
  <c r="F37" i="1"/>
  <c r="F38" i="1"/>
  <c r="F39" i="1"/>
  <c r="F36" i="1"/>
  <c r="F24" i="1"/>
  <c r="F25" i="1"/>
  <c r="F26" i="1"/>
  <c r="F23" i="1"/>
  <c r="F11" i="1"/>
  <c r="F12" i="1"/>
  <c r="F13" i="1"/>
  <c r="F10" i="1"/>
  <c r="D4" i="1"/>
  <c r="F4" i="1" s="1"/>
  <c r="E4" i="1"/>
  <c r="I4" i="1"/>
  <c r="L4" i="1" s="1"/>
  <c r="J4" i="1"/>
  <c r="K4" i="1"/>
  <c r="O4" i="1"/>
  <c r="P4" i="1"/>
  <c r="R4" i="1" s="1"/>
  <c r="Q4" i="1"/>
  <c r="D5" i="1"/>
  <c r="E5" i="1"/>
  <c r="I5" i="1"/>
  <c r="L5" i="1" s="1"/>
  <c r="J5" i="1"/>
  <c r="K5" i="1"/>
  <c r="O5" i="1"/>
  <c r="R5" i="1" s="1"/>
  <c r="P5" i="1"/>
  <c r="Q5" i="1"/>
  <c r="D6" i="1"/>
  <c r="F6" i="1" s="1"/>
  <c r="E6" i="1"/>
  <c r="I6" i="1"/>
  <c r="L6" i="1" s="1"/>
  <c r="J6" i="1"/>
  <c r="K6" i="1"/>
  <c r="O6" i="1"/>
  <c r="R6" i="1" s="1"/>
  <c r="P6" i="1"/>
  <c r="Q6" i="1"/>
  <c r="H7" i="1"/>
  <c r="N7" i="1"/>
  <c r="P7" i="1"/>
  <c r="Q7" i="1"/>
  <c r="C5" i="1"/>
  <c r="F5" i="1" s="1"/>
  <c r="C6" i="1"/>
  <c r="C4" i="1"/>
  <c r="Q13" i="1"/>
  <c r="P13" i="1"/>
  <c r="O13" i="1"/>
  <c r="O7" i="1" s="1"/>
  <c r="R7" i="1" s="1"/>
  <c r="K39" i="1"/>
  <c r="J39" i="1"/>
  <c r="I39" i="1"/>
  <c r="I7" i="1" s="1"/>
  <c r="J26" i="1"/>
  <c r="I26" i="1"/>
  <c r="K13" i="1"/>
  <c r="J13" i="1"/>
  <c r="J7" i="1" s="1"/>
  <c r="I13" i="1"/>
  <c r="D39" i="1"/>
  <c r="E39" i="1"/>
  <c r="C39" i="1"/>
  <c r="E25" i="1"/>
  <c r="E23" i="1"/>
  <c r="D26" i="1"/>
  <c r="C26" i="1"/>
  <c r="E13" i="1"/>
  <c r="D13" i="1"/>
  <c r="D7" i="1" s="1"/>
  <c r="C13" i="1"/>
  <c r="C7" i="1" s="1"/>
  <c r="E26" i="1" l="1"/>
  <c r="E7" i="1" s="1"/>
  <c r="F7" i="1" s="1"/>
  <c r="K26" i="1"/>
  <c r="K7" i="1" s="1"/>
  <c r="L7" i="1" s="1"/>
</calcChain>
</file>

<file path=xl/sharedStrings.xml><?xml version="1.0" encoding="utf-8"?>
<sst xmlns="http://schemas.openxmlformats.org/spreadsheetml/2006/main" count="87" uniqueCount="25">
  <si>
    <t>Youtube</t>
    <phoneticPr fontId="1" type="noConversion"/>
  </si>
  <si>
    <t>subscribe to MrBeast</t>
    <phoneticPr fontId="1" type="noConversion"/>
  </si>
  <si>
    <t>subscribe to Tesla channel</t>
    <phoneticPr fontId="1" type="noConversion"/>
  </si>
  <si>
    <t>subscribe to Andrej Karpathy</t>
    <phoneticPr fontId="1" type="noConversion"/>
  </si>
  <si>
    <t>Total Local</t>
    <phoneticPr fontId="1" type="noConversion"/>
  </si>
  <si>
    <t>Total API</t>
    <phoneticPr fontId="1" type="noConversion"/>
  </si>
  <si>
    <t>Total Action</t>
    <phoneticPr fontId="1" type="noConversion"/>
  </si>
  <si>
    <t>Gmail</t>
    <phoneticPr fontId="1" type="noConversion"/>
  </si>
  <si>
    <t>send an email to zwu178@ucr.edu about set a clock</t>
    <phoneticPr fontId="1" type="noConversion"/>
  </si>
  <si>
    <t>send an email to zwu178@ucr.edu about asking publication</t>
    <phoneticPr fontId="1" type="noConversion"/>
  </si>
  <si>
    <t xml:space="preserve">send an email to wish zhifeng happy birthday </t>
    <phoneticPr fontId="1" type="noConversion"/>
  </si>
  <si>
    <t>Google Map</t>
    <phoneticPr fontId="1" type="noConversion"/>
  </si>
  <si>
    <t>navigate to nearby Costco</t>
    <phoneticPr fontId="1" type="noConversion"/>
  </si>
  <si>
    <t>navigate to walmart</t>
    <phoneticPr fontId="1" type="noConversion"/>
  </si>
  <si>
    <t>navigate to UC, Riverside</t>
    <phoneticPr fontId="1" type="noConversion"/>
  </si>
  <si>
    <t>Good Network</t>
    <phoneticPr fontId="1" type="noConversion"/>
  </si>
  <si>
    <t>Medium Network</t>
    <phoneticPr fontId="1" type="noConversion"/>
  </si>
  <si>
    <t>latency = 200ms, packet loss rate = 1%</t>
    <phoneticPr fontId="1" type="noConversion"/>
  </si>
  <si>
    <t xml:space="preserve">send an email to wish zwu178@ucr.edu happy birthday </t>
    <phoneticPr fontId="1" type="noConversion"/>
  </si>
  <si>
    <t>Poor Network</t>
    <phoneticPr fontId="1" type="noConversion"/>
  </si>
  <si>
    <t>latency = 500ms, packet loss rate = 5%</t>
    <phoneticPr fontId="1" type="noConversion"/>
  </si>
  <si>
    <t>Total Time</t>
    <phoneticPr fontId="1" type="noConversion"/>
  </si>
  <si>
    <t>Final Result</t>
    <phoneticPr fontId="1" type="noConversion"/>
  </si>
  <si>
    <t>Average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</si>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</sst>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13</xdr:row>
      <xdr:rowOff>127000</xdr:rowOff>
    </xdr:from>
    <xdr:to>
      <xdr:col>3</xdr:col>
      <xdr:colOff>654419</xdr:colOff>
      <xdr:row>19</xdr:row>
      <xdr:rowOff>76200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841B436-4E68-F44C-2CE2-83FFF24D0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900" y="1955800"/>
          <a:ext cx="2304926" cy="13208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13</xdr:row>
      <xdr:rowOff>223014</xdr:rowOff>
    </xdr:from>
    <xdr:to>
      <xdr:col>4</xdr:col>
      <xdr:colOff>469653</xdr:colOff>
      <xdr:row>19</xdr:row>
      <xdr:rowOff>90735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2E3CA21-8A27-CC1F-E112-152231C64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5600" y="2051814"/>
          <a:ext cx="2120900" cy="1239321"/>
        </a:xfrm>
        <a:prstGeom prst="rect">
          <a:avLst/>
        </a:prstGeom>
      </xdr:spPr>
    </xdr:pic>
    <xdr:clientData/>
  </xdr:twoCellAnchor>
  <xdr:twoCellAnchor editAs="oneCell">
    <xdr:from>
      <xdr:col>4</xdr:col>
      <xdr:colOff>330200</xdr:colOff>
      <xdr:row>13</xdr:row>
      <xdr:rowOff>181240</xdr:rowOff>
    </xdr:from>
    <xdr:to>
      <xdr:col>5</xdr:col>
      <xdr:colOff>1048059</xdr:colOff>
      <xdr:row>19</xdr:row>
      <xdr:rowOff>94793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9E5DA96-1DF1-39A9-BD86-37D04F54B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8600" y="2010040"/>
          <a:ext cx="2298700" cy="1285153"/>
        </a:xfrm>
        <a:prstGeom prst="rect">
          <a:avLst/>
        </a:prstGeom>
      </xdr:spPr>
    </xdr:pic>
    <xdr:clientData/>
  </xdr:twoCellAnchor>
  <xdr:twoCellAnchor editAs="oneCell">
    <xdr:from>
      <xdr:col>1</xdr:col>
      <xdr:colOff>736601</xdr:colOff>
      <xdr:row>26</xdr:row>
      <xdr:rowOff>190500</xdr:rowOff>
    </xdr:from>
    <xdr:to>
      <xdr:col>3</xdr:col>
      <xdr:colOff>439362</xdr:colOff>
      <xdr:row>32</xdr:row>
      <xdr:rowOff>177799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D7052B3-94C3-ED06-75DB-A5A2E717F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2101" y="5486400"/>
          <a:ext cx="2521668" cy="135889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26</xdr:row>
      <xdr:rowOff>185843</xdr:rowOff>
    </xdr:from>
    <xdr:to>
      <xdr:col>4</xdr:col>
      <xdr:colOff>609353</xdr:colOff>
      <xdr:row>32</xdr:row>
      <xdr:rowOff>76199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19A9DAC-9C25-9F69-16EB-DC55E0E82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41800" y="5481743"/>
          <a:ext cx="2184400" cy="1261956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698500</xdr:colOff>
      <xdr:row>40</xdr:row>
      <xdr:rowOff>114300</xdr:rowOff>
    </xdr:from>
    <xdr:to>
      <xdr:col>3</xdr:col>
      <xdr:colOff>407667</xdr:colOff>
      <xdr:row>46</xdr:row>
      <xdr:rowOff>203200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52BE091-E060-06B3-1068-70887E87E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0" y="8610600"/>
          <a:ext cx="2528074" cy="1460500"/>
        </a:xfrm>
        <a:prstGeom prst="rect">
          <a:avLst/>
        </a:prstGeom>
      </xdr:spPr>
    </xdr:pic>
    <xdr:clientData/>
  </xdr:twoCellAnchor>
  <xdr:twoCellAnchor editAs="oneCell">
    <xdr:from>
      <xdr:col>4</xdr:col>
      <xdr:colOff>165100</xdr:colOff>
      <xdr:row>40</xdr:row>
      <xdr:rowOff>127000</xdr:rowOff>
    </xdr:from>
    <xdr:to>
      <xdr:col>5</xdr:col>
      <xdr:colOff>1048059</xdr:colOff>
      <xdr:row>46</xdr:row>
      <xdr:rowOff>135417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00A88EC-017D-0A9B-8564-8619CABA7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13500" y="8623300"/>
          <a:ext cx="2463800" cy="1380017"/>
        </a:xfrm>
        <a:prstGeom prst="rect">
          <a:avLst/>
        </a:prstGeom>
      </xdr:spPr>
    </xdr:pic>
    <xdr:clientData/>
  </xdr:twoCellAnchor>
  <xdr:twoCellAnchor editAs="oneCell">
    <xdr:from>
      <xdr:col>2</xdr:col>
      <xdr:colOff>2184401</xdr:colOff>
      <xdr:row>40</xdr:row>
      <xdr:rowOff>177800</xdr:rowOff>
    </xdr:from>
    <xdr:to>
      <xdr:col>4</xdr:col>
      <xdr:colOff>447089</xdr:colOff>
      <xdr:row>46</xdr:row>
      <xdr:rowOff>53250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7629EE80-1E01-BB9E-6182-D0D76CD20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87801" y="8674100"/>
          <a:ext cx="2209799" cy="1247050"/>
        </a:xfrm>
        <a:prstGeom prst="rect">
          <a:avLst/>
        </a:prstGeom>
      </xdr:spPr>
    </xdr:pic>
    <xdr:clientData/>
  </xdr:twoCellAnchor>
  <xdr:twoCellAnchor editAs="oneCell">
    <xdr:from>
      <xdr:col>7</xdr:col>
      <xdr:colOff>649351</xdr:colOff>
      <xdr:row>14</xdr:row>
      <xdr:rowOff>25400</xdr:rowOff>
    </xdr:from>
    <xdr:to>
      <xdr:col>9</xdr:col>
      <xdr:colOff>111887</xdr:colOff>
      <xdr:row>19</xdr:row>
      <xdr:rowOff>203200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979ED79-C50D-D630-B243-C98DDE9EE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52151" y="2082800"/>
          <a:ext cx="2370836" cy="1320800"/>
        </a:xfrm>
        <a:prstGeom prst="rect">
          <a:avLst/>
        </a:prstGeom>
      </xdr:spPr>
    </xdr:pic>
    <xdr:clientData/>
  </xdr:twoCellAnchor>
  <xdr:twoCellAnchor editAs="oneCell">
    <xdr:from>
      <xdr:col>9</xdr:col>
      <xdr:colOff>368300</xdr:colOff>
      <xdr:row>14</xdr:row>
      <xdr:rowOff>23808</xdr:rowOff>
    </xdr:from>
    <xdr:to>
      <xdr:col>10</xdr:col>
      <xdr:colOff>651382</xdr:colOff>
      <xdr:row>19</xdr:row>
      <xdr:rowOff>215899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670CDA0C-A921-A2F7-6D86-898DB3996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611100" y="2233608"/>
          <a:ext cx="2289682" cy="1335091"/>
        </a:xfrm>
        <a:prstGeom prst="rect">
          <a:avLst/>
        </a:prstGeom>
      </xdr:spPr>
    </xdr:pic>
    <xdr:clientData/>
  </xdr:twoCellAnchor>
  <xdr:twoCellAnchor editAs="oneCell">
    <xdr:from>
      <xdr:col>10</xdr:col>
      <xdr:colOff>800100</xdr:colOff>
      <xdr:row>13</xdr:row>
      <xdr:rowOff>223354</xdr:rowOff>
    </xdr:from>
    <xdr:to>
      <xdr:col>12</xdr:col>
      <xdr:colOff>154620</xdr:colOff>
      <xdr:row>20</xdr:row>
      <xdr:rowOff>25399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B110FB9D-9CF2-5DA5-9E81-7A697E4CE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049500" y="2204554"/>
          <a:ext cx="2413000" cy="1402245"/>
        </a:xfrm>
        <a:prstGeom prst="rect">
          <a:avLst/>
        </a:prstGeom>
      </xdr:spPr>
    </xdr:pic>
    <xdr:clientData/>
  </xdr:twoCellAnchor>
  <xdr:twoCellAnchor editAs="oneCell">
    <xdr:from>
      <xdr:col>6</xdr:col>
      <xdr:colOff>695972</xdr:colOff>
      <xdr:row>26</xdr:row>
      <xdr:rowOff>76199</xdr:rowOff>
    </xdr:from>
    <xdr:to>
      <xdr:col>8</xdr:col>
      <xdr:colOff>1587499</xdr:colOff>
      <xdr:row>33</xdr:row>
      <xdr:rowOff>165098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18295BFE-F6F2-D21D-C4B1-6A48291A9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73272" y="5524499"/>
          <a:ext cx="2910827" cy="1689099"/>
        </a:xfrm>
        <a:prstGeom prst="rect">
          <a:avLst/>
        </a:prstGeom>
      </xdr:spPr>
    </xdr:pic>
    <xdr:clientData/>
  </xdr:twoCellAnchor>
  <xdr:twoCellAnchor editAs="oneCell">
    <xdr:from>
      <xdr:col>9</xdr:col>
      <xdr:colOff>101600</xdr:colOff>
      <xdr:row>26</xdr:row>
      <xdr:rowOff>172410</xdr:rowOff>
    </xdr:from>
    <xdr:to>
      <xdr:col>10</xdr:col>
      <xdr:colOff>711200</xdr:colOff>
      <xdr:row>33</xdr:row>
      <xdr:rowOff>70441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5D5571B0-C124-8F75-52C7-15190ACBA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344400" y="5620710"/>
          <a:ext cx="2616200" cy="1498231"/>
        </a:xfrm>
        <a:prstGeom prst="rect">
          <a:avLst/>
        </a:prstGeom>
      </xdr:spPr>
    </xdr:pic>
    <xdr:clientData/>
  </xdr:twoCellAnchor>
  <xdr:twoCellAnchor editAs="oneCell">
    <xdr:from>
      <xdr:col>10</xdr:col>
      <xdr:colOff>620594</xdr:colOff>
      <xdr:row>26</xdr:row>
      <xdr:rowOff>101600</xdr:rowOff>
    </xdr:from>
    <xdr:to>
      <xdr:col>12</xdr:col>
      <xdr:colOff>119806</xdr:colOff>
      <xdr:row>32</xdr:row>
      <xdr:rowOff>190500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5D77EF85-5A35-D9EF-A9A2-D8E6E7311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238294" y="5549900"/>
          <a:ext cx="2557692" cy="1460500"/>
        </a:xfrm>
        <a:prstGeom prst="rect">
          <a:avLst/>
        </a:prstGeom>
      </xdr:spPr>
    </xdr:pic>
    <xdr:clientData/>
  </xdr:twoCellAnchor>
  <xdr:twoCellAnchor editAs="oneCell">
    <xdr:from>
      <xdr:col>7</xdr:col>
      <xdr:colOff>653497</xdr:colOff>
      <xdr:row>40</xdr:row>
      <xdr:rowOff>49321</xdr:rowOff>
    </xdr:from>
    <xdr:to>
      <xdr:col>9</xdr:col>
      <xdr:colOff>123301</xdr:colOff>
      <xdr:row>46</xdr:row>
      <xdr:rowOff>49248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A882BD9F-F5F6-834C-4F19-829C267EA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344953" y="8890001"/>
          <a:ext cx="2379707" cy="1405558"/>
        </a:xfrm>
        <a:prstGeom prst="rect">
          <a:avLst/>
        </a:prstGeom>
      </xdr:spPr>
    </xdr:pic>
    <xdr:clientData/>
  </xdr:twoCellAnchor>
  <xdr:twoCellAnchor editAs="oneCell">
    <xdr:from>
      <xdr:col>9</xdr:col>
      <xdr:colOff>468543</xdr:colOff>
      <xdr:row>40</xdr:row>
      <xdr:rowOff>45884</xdr:rowOff>
    </xdr:from>
    <xdr:to>
      <xdr:col>10</xdr:col>
      <xdr:colOff>769722</xdr:colOff>
      <xdr:row>45</xdr:row>
      <xdr:rowOff>209610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6892068-82A3-58F6-95EB-27CD1C61D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69902" y="8886564"/>
          <a:ext cx="2310985" cy="1335085"/>
        </a:xfrm>
        <a:prstGeom prst="rect">
          <a:avLst/>
        </a:prstGeom>
      </xdr:spPr>
    </xdr:pic>
    <xdr:clientData/>
  </xdr:twoCellAnchor>
  <xdr:twoCellAnchor editAs="oneCell">
    <xdr:from>
      <xdr:col>10</xdr:col>
      <xdr:colOff>1018843</xdr:colOff>
      <xdr:row>40</xdr:row>
      <xdr:rowOff>98638</xdr:rowOff>
    </xdr:from>
    <xdr:to>
      <xdr:col>12</xdr:col>
      <xdr:colOff>163496</xdr:colOff>
      <xdr:row>45</xdr:row>
      <xdr:rowOff>183100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61D900D-36FC-3FD5-39B5-761689B69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630008" y="8939318"/>
          <a:ext cx="2202517" cy="1255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8EC4-0F90-F741-93B1-40DA8D03F034}">
  <dimension ref="B2:R39"/>
  <sheetViews>
    <sheetView showGridLines="0" zoomScale="103" workbookViewId="0">
      <selection activeCell="B22" sqref="B22"/>
    </sheetView>
  </sheetViews>
  <sheetFormatPr baseColWidth="10" defaultRowHeight="18"/>
  <cols>
    <col min="1" max="1" width="10.83203125" style="2"/>
    <col min="2" max="2" width="12.83203125" style="2" customWidth="1"/>
    <col min="3" max="3" width="24.1640625" style="2" customWidth="1"/>
    <col min="4" max="4" width="23.1640625" style="2" customWidth="1"/>
    <col min="5" max="6" width="20.6640625" style="2" customWidth="1"/>
    <col min="7" max="7" width="10.83203125" style="2"/>
    <col min="8" max="8" width="15.6640625" style="2" customWidth="1"/>
    <col min="9" max="9" width="22.5" style="2" customWidth="1"/>
    <col min="10" max="10" width="26.33203125" style="2" customWidth="1"/>
    <col min="11" max="11" width="28.33203125" style="2" customWidth="1"/>
    <col min="12" max="12" width="11.83203125" style="2" customWidth="1"/>
    <col min="13" max="14" width="10.83203125" style="2"/>
    <col min="15" max="15" width="19.6640625" style="2" customWidth="1"/>
    <col min="16" max="16" width="26.33203125" style="2" customWidth="1"/>
    <col min="17" max="16384" width="10.83203125" style="2"/>
  </cols>
  <sheetData>
    <row r="2" spans="2:18" ht="30">
      <c r="B2" s="4" t="s">
        <v>15</v>
      </c>
      <c r="C2" s="4"/>
      <c r="D2" s="4"/>
      <c r="E2" s="4"/>
      <c r="H2" s="4" t="s">
        <v>16</v>
      </c>
      <c r="I2" s="4"/>
      <c r="J2" s="4"/>
      <c r="K2" s="4"/>
      <c r="N2" s="4" t="s">
        <v>19</v>
      </c>
      <c r="O2" s="4"/>
      <c r="P2" s="4"/>
      <c r="Q2" s="4"/>
    </row>
    <row r="3" spans="2:18" ht="30">
      <c r="B3" s="5"/>
      <c r="C3" s="5"/>
      <c r="D3" s="5"/>
      <c r="E3" s="5"/>
      <c r="F3" s="2" t="s">
        <v>22</v>
      </c>
      <c r="H3" s="2" t="s">
        <v>17</v>
      </c>
      <c r="J3" s="5"/>
      <c r="K3" s="5"/>
      <c r="L3" s="2" t="s">
        <v>22</v>
      </c>
      <c r="N3" s="2" t="s">
        <v>20</v>
      </c>
      <c r="O3" s="5"/>
      <c r="P3" s="5"/>
      <c r="Q3" s="5"/>
    </row>
    <row r="4" spans="2:18">
      <c r="B4" s="2" t="s">
        <v>4</v>
      </c>
      <c r="C4" s="7">
        <f>(C10+C23+C36)/3</f>
        <v>21.173999999999996</v>
      </c>
      <c r="D4" s="7">
        <f>(D10+D23+D36)/3</f>
        <v>22.624333333333336</v>
      </c>
      <c r="E4" s="7">
        <f>(E10+E23+E36)/3</f>
        <v>23.823666666666668</v>
      </c>
      <c r="F4" s="6">
        <f>AVERAGE(C4:E4)</f>
        <v>22.540666666666667</v>
      </c>
      <c r="H4" s="7"/>
      <c r="I4" s="7">
        <f>(I10+I23+I36)/3</f>
        <v>19.042666666666666</v>
      </c>
      <c r="J4" s="7">
        <f>(J10+J23+J36)/3</f>
        <v>20.298666666666666</v>
      </c>
      <c r="K4" s="7">
        <f>(K10+K23+K36)/3</f>
        <v>18.598333333333333</v>
      </c>
      <c r="L4" s="6">
        <f>AVERAGE(I4:K4)</f>
        <v>19.313222222222223</v>
      </c>
      <c r="O4" s="7">
        <f>(O10+O23+O36)/3</f>
        <v>6.569</v>
      </c>
      <c r="P4" s="7">
        <f>(P10+P23+P36)/3</f>
        <v>6.23</v>
      </c>
      <c r="Q4" s="7">
        <f>(Q10+Q23+Q36)/3</f>
        <v>5.774</v>
      </c>
      <c r="R4" s="6">
        <f>AVERAGE(O4:Q4)</f>
        <v>6.1909999999999998</v>
      </c>
    </row>
    <row r="5" spans="2:18">
      <c r="B5" s="2" t="s">
        <v>5</v>
      </c>
      <c r="C5" s="7">
        <f>(C11+C24+C37)/3</f>
        <v>29.60166666666667</v>
      </c>
      <c r="D5" s="7">
        <f>(D11+D24+D37)/3</f>
        <v>27.920333333333332</v>
      </c>
      <c r="E5" s="7">
        <f>(E11+E24+E37)/3</f>
        <v>31.007333333333332</v>
      </c>
      <c r="F5" s="6">
        <f t="shared" ref="F5:F7" si="0">AVERAGE(C5:E5)</f>
        <v>29.509777777777781</v>
      </c>
      <c r="H5" s="7"/>
      <c r="I5" s="7">
        <f>(I11+I24+I37)/3</f>
        <v>67.430666666666667</v>
      </c>
      <c r="J5" s="7">
        <f>(J11+J24+J37)/3</f>
        <v>57.856666666666662</v>
      </c>
      <c r="K5" s="7">
        <f>(K11+K24+K37)/3</f>
        <v>67.832666666666668</v>
      </c>
      <c r="L5" s="6">
        <f t="shared" ref="L5:L7" si="1">AVERAGE(I5:K5)</f>
        <v>64.373333333333335</v>
      </c>
      <c r="O5" s="7">
        <f>(O11+O24+O37)/3</f>
        <v>27.726333333333333</v>
      </c>
      <c r="P5" s="7">
        <f>(P11+P24+P37)/3</f>
        <v>21.956</v>
      </c>
      <c r="Q5" s="7">
        <f>(Q11+Q24+Q37)/3</f>
        <v>22.669333333333331</v>
      </c>
      <c r="R5" s="6">
        <f t="shared" ref="R5:R7" si="2">AVERAGE(O5:Q5)</f>
        <v>24.117222222222221</v>
      </c>
    </row>
    <row r="6" spans="2:18">
      <c r="B6" s="2" t="s">
        <v>6</v>
      </c>
      <c r="C6" s="7">
        <f>(C12+C25+C38)/3</f>
        <v>0.93966666666666665</v>
      </c>
      <c r="D6" s="7">
        <f>(D12+D25+D38)/3</f>
        <v>1.3490000000000002</v>
      </c>
      <c r="E6" s="7">
        <f>(E12+E25+E38)/3</f>
        <v>1.3016666666666667</v>
      </c>
      <c r="F6" s="6">
        <f t="shared" si="0"/>
        <v>1.1967777777777779</v>
      </c>
      <c r="H6" s="7"/>
      <c r="I6" s="7">
        <f>(I12+I25+I38)/3</f>
        <v>0.72233333333333327</v>
      </c>
      <c r="J6" s="7">
        <f>(J12+J25+J38)/3</f>
        <v>0.94099999999999995</v>
      </c>
      <c r="K6" s="7">
        <f>(K12+K25+K38)/3</f>
        <v>0.80399999999999994</v>
      </c>
      <c r="L6" s="6">
        <f t="shared" si="1"/>
        <v>0.82244444444444431</v>
      </c>
      <c r="O6" s="7">
        <f>(O12+O25+O38)/3</f>
        <v>0.21633333333333335</v>
      </c>
      <c r="P6" s="7">
        <f>(P12+P25+P38)/3</f>
        <v>0.19333333333333333</v>
      </c>
      <c r="Q6" s="7">
        <f>(Q12+Q25+Q38)/3</f>
        <v>0.22933333333333331</v>
      </c>
      <c r="R6" s="6">
        <f t="shared" si="2"/>
        <v>0.21299999999999999</v>
      </c>
    </row>
    <row r="7" spans="2:18">
      <c r="B7" s="2" t="s">
        <v>21</v>
      </c>
      <c r="C7" s="7">
        <f>(C13+C26+C39)/3</f>
        <v>51.715333333333341</v>
      </c>
      <c r="D7" s="7">
        <f>(D13+D26+D39)/3</f>
        <v>51.893666666666668</v>
      </c>
      <c r="E7" s="7">
        <f>(E13+E26+E39)/3</f>
        <v>56.132666666666665</v>
      </c>
      <c r="F7" s="6">
        <f t="shared" si="0"/>
        <v>53.247222222222227</v>
      </c>
      <c r="H7" s="7">
        <f>(H13+H26+H39)/3</f>
        <v>0</v>
      </c>
      <c r="I7" s="7">
        <f>(I13+I26+I39)/3</f>
        <v>87.195666666666668</v>
      </c>
      <c r="J7" s="7">
        <f>(J13+J26+J39)/3</f>
        <v>79.096333333333334</v>
      </c>
      <c r="K7" s="7">
        <f>(K13+K26+K39)/3</f>
        <v>87.235000000000014</v>
      </c>
      <c r="L7" s="6">
        <f t="shared" si="1"/>
        <v>84.509</v>
      </c>
      <c r="N7" s="7">
        <f>(N13+N26+N39)/3</f>
        <v>0</v>
      </c>
      <c r="O7" s="7">
        <f>(O13+O26+O39)/3</f>
        <v>34.511666666666663</v>
      </c>
      <c r="P7" s="7">
        <f>(P13+P26+P39)/3</f>
        <v>28.379333333333332</v>
      </c>
      <c r="Q7" s="7">
        <f>(Q13+Q26+Q39)/3</f>
        <v>28.672666666666668</v>
      </c>
      <c r="R7" s="6">
        <f t="shared" si="2"/>
        <v>30.521222222222221</v>
      </c>
    </row>
    <row r="8" spans="2:18">
      <c r="C8" s="7"/>
      <c r="D8" s="7"/>
      <c r="E8" s="7"/>
      <c r="F8" s="6"/>
      <c r="H8" s="7"/>
      <c r="I8" s="7"/>
      <c r="J8" s="7"/>
      <c r="K8" s="7"/>
      <c r="L8" s="6"/>
      <c r="N8" s="7"/>
      <c r="O8" s="7"/>
      <c r="P8" s="7"/>
      <c r="Q8" s="7"/>
      <c r="R8" s="6"/>
    </row>
    <row r="9" spans="2:18">
      <c r="B9" s="2" t="s">
        <v>0</v>
      </c>
      <c r="C9" s="2" t="s">
        <v>1</v>
      </c>
      <c r="D9" s="2" t="s">
        <v>2</v>
      </c>
      <c r="E9" s="2" t="s">
        <v>3</v>
      </c>
      <c r="H9" s="2" t="s">
        <v>0</v>
      </c>
      <c r="I9" s="2" t="s">
        <v>1</v>
      </c>
      <c r="J9" s="2" t="s">
        <v>2</v>
      </c>
      <c r="K9" s="2" t="s">
        <v>3</v>
      </c>
      <c r="N9" s="2" t="s">
        <v>0</v>
      </c>
      <c r="O9" s="2" t="s">
        <v>1</v>
      </c>
      <c r="P9" s="2" t="s">
        <v>2</v>
      </c>
      <c r="Q9" s="2" t="s">
        <v>3</v>
      </c>
    </row>
    <row r="10" spans="2:18">
      <c r="B10" s="2" t="s">
        <v>4</v>
      </c>
      <c r="C10" s="2">
        <v>15.611000000000001</v>
      </c>
      <c r="D10" s="2">
        <v>18.994</v>
      </c>
      <c r="E10" s="2">
        <v>18.207000000000001</v>
      </c>
      <c r="F10" s="6">
        <f>AVERAGE(C10:E10)</f>
        <v>17.604000000000003</v>
      </c>
      <c r="H10" s="2" t="s">
        <v>4</v>
      </c>
      <c r="I10" s="2">
        <v>19.707000000000001</v>
      </c>
      <c r="J10" s="2">
        <v>18.690000000000001</v>
      </c>
      <c r="K10" s="2">
        <v>17.321999999999999</v>
      </c>
      <c r="L10" s="6">
        <f>AVERAGE(I10:K10)</f>
        <v>18.573000000000004</v>
      </c>
      <c r="N10" s="2" t="s">
        <v>4</v>
      </c>
      <c r="O10" s="2">
        <v>19.707000000000001</v>
      </c>
      <c r="P10" s="2">
        <v>18.690000000000001</v>
      </c>
      <c r="Q10" s="2">
        <v>17.321999999999999</v>
      </c>
    </row>
    <row r="11" spans="2:18">
      <c r="B11" s="2" t="s">
        <v>5</v>
      </c>
      <c r="C11" s="2">
        <v>21.224</v>
      </c>
      <c r="D11" s="2">
        <v>24.785</v>
      </c>
      <c r="E11" s="2">
        <v>25.952000000000002</v>
      </c>
      <c r="F11" s="6">
        <f t="shared" ref="F11:F13" si="3">AVERAGE(C11:E11)</f>
        <v>23.986999999999998</v>
      </c>
      <c r="H11" s="2" t="s">
        <v>5</v>
      </c>
      <c r="I11" s="2">
        <v>83.179000000000002</v>
      </c>
      <c r="J11" s="2">
        <v>65.867999999999995</v>
      </c>
      <c r="K11" s="2">
        <v>68.007999999999996</v>
      </c>
      <c r="L11" s="6">
        <f t="shared" ref="L11:L13" si="4">AVERAGE(I11:K11)</f>
        <v>72.351666666666674</v>
      </c>
      <c r="N11" s="2" t="s">
        <v>5</v>
      </c>
      <c r="O11" s="2">
        <v>83.179000000000002</v>
      </c>
      <c r="P11" s="2">
        <v>65.867999999999995</v>
      </c>
      <c r="Q11" s="2">
        <v>68.007999999999996</v>
      </c>
    </row>
    <row r="12" spans="2:18">
      <c r="B12" s="2" t="s">
        <v>6</v>
      </c>
      <c r="C12" s="2">
        <v>0.44900000000000001</v>
      </c>
      <c r="D12" s="2">
        <v>0.71799999999999997</v>
      </c>
      <c r="E12" s="2">
        <v>0.73299999999999998</v>
      </c>
      <c r="F12" s="6">
        <f t="shared" si="3"/>
        <v>0.6333333333333333</v>
      </c>
      <c r="H12" s="2" t="s">
        <v>6</v>
      </c>
      <c r="I12" s="2">
        <v>0.64900000000000002</v>
      </c>
      <c r="J12" s="2">
        <v>0.57999999999999996</v>
      </c>
      <c r="K12" s="2">
        <v>0.68799999999999994</v>
      </c>
      <c r="L12" s="6">
        <f t="shared" si="4"/>
        <v>0.63900000000000001</v>
      </c>
      <c r="N12" s="2" t="s">
        <v>6</v>
      </c>
      <c r="O12" s="2">
        <v>0.64900000000000002</v>
      </c>
      <c r="P12" s="2">
        <v>0.57999999999999996</v>
      </c>
      <c r="Q12" s="2">
        <v>0.68799999999999994</v>
      </c>
    </row>
    <row r="13" spans="2:18">
      <c r="C13" s="2">
        <f>SUM(C10:C12)</f>
        <v>37.283999999999999</v>
      </c>
      <c r="D13" s="2">
        <f>SUM(D10:D12)</f>
        <v>44.497</v>
      </c>
      <c r="E13" s="2">
        <f>SUM(E10:E12)</f>
        <v>44.892000000000003</v>
      </c>
      <c r="F13" s="6">
        <f t="shared" si="3"/>
        <v>42.224333333333334</v>
      </c>
      <c r="I13" s="2">
        <f>SUM(I10:I12)</f>
        <v>103.535</v>
      </c>
      <c r="J13" s="2">
        <f>SUM(J10:J12)</f>
        <v>85.137999999999991</v>
      </c>
      <c r="K13" s="2">
        <f>SUM(K10:K12)</f>
        <v>86.018000000000001</v>
      </c>
      <c r="L13" s="6">
        <f t="shared" si="4"/>
        <v>91.563666666666677</v>
      </c>
      <c r="O13" s="2">
        <f>SUM(O10:O12)</f>
        <v>103.535</v>
      </c>
      <c r="P13" s="2">
        <f>SUM(P10:P12)</f>
        <v>85.137999999999991</v>
      </c>
      <c r="Q13" s="2">
        <f>SUM(Q10:Q12)</f>
        <v>86.018000000000001</v>
      </c>
    </row>
    <row r="22" spans="2:12" ht="57">
      <c r="B22" s="2" t="s">
        <v>7</v>
      </c>
      <c r="C22" s="3" t="s">
        <v>8</v>
      </c>
      <c r="D22" s="3" t="s">
        <v>9</v>
      </c>
      <c r="E22" s="3" t="s">
        <v>10</v>
      </c>
      <c r="H22" s="2" t="s">
        <v>7</v>
      </c>
      <c r="I22" s="3" t="s">
        <v>8</v>
      </c>
      <c r="J22" s="3" t="s">
        <v>9</v>
      </c>
      <c r="K22" s="3" t="s">
        <v>18</v>
      </c>
    </row>
    <row r="23" spans="2:12">
      <c r="B23" s="2" t="s">
        <v>4</v>
      </c>
      <c r="C23" s="2">
        <v>27.536999999999999</v>
      </c>
      <c r="D23" s="2">
        <v>30.881</v>
      </c>
      <c r="E23" s="2">
        <f>AVERAGE(C23:D23)</f>
        <v>29.209</v>
      </c>
      <c r="F23" s="6">
        <f>AVERAGE(C23:E23)</f>
        <v>29.209</v>
      </c>
      <c r="H23" s="2" t="s">
        <v>4</v>
      </c>
      <c r="I23" s="2">
        <v>20.361999999999998</v>
      </c>
      <c r="J23" s="2">
        <v>24.355</v>
      </c>
      <c r="K23" s="2">
        <v>24.399000000000001</v>
      </c>
      <c r="L23" s="6">
        <f>AVERAGE(I23:K23)</f>
        <v>23.038666666666668</v>
      </c>
    </row>
    <row r="24" spans="2:12">
      <c r="B24" s="2" t="s">
        <v>5</v>
      </c>
      <c r="C24" s="2">
        <v>31.356999999999999</v>
      </c>
      <c r="D24" s="2">
        <v>34.152000000000001</v>
      </c>
      <c r="E24" s="2">
        <v>31.754999999999999</v>
      </c>
      <c r="F24" s="6">
        <f t="shared" ref="F24:F26" si="5">AVERAGE(C24:E24)</f>
        <v>32.42133333333333</v>
      </c>
      <c r="H24" s="2" t="s">
        <v>5</v>
      </c>
      <c r="I24" s="2">
        <v>44.487000000000002</v>
      </c>
      <c r="J24" s="2">
        <v>52.530999999999999</v>
      </c>
      <c r="K24" s="2">
        <v>75.099000000000004</v>
      </c>
      <c r="L24" s="6">
        <f t="shared" ref="L24:L26" si="6">AVERAGE(I24:K24)</f>
        <v>57.372333333333337</v>
      </c>
    </row>
    <row r="25" spans="2:12">
      <c r="B25" s="2" t="s">
        <v>6</v>
      </c>
      <c r="C25" s="2">
        <v>1.7989999999999999</v>
      </c>
      <c r="D25" s="2">
        <v>2.7930000000000001</v>
      </c>
      <c r="E25" s="2">
        <f t="shared" ref="E24:E25" si="7">AVERAGE(C25:D25)</f>
        <v>2.2960000000000003</v>
      </c>
      <c r="F25" s="6">
        <f t="shared" si="5"/>
        <v>2.2960000000000003</v>
      </c>
      <c r="H25" s="2" t="s">
        <v>6</v>
      </c>
      <c r="I25" s="2">
        <v>0.88</v>
      </c>
      <c r="J25" s="2">
        <v>1.6919999999999999</v>
      </c>
      <c r="K25" s="2">
        <v>1.3029999999999999</v>
      </c>
      <c r="L25" s="6">
        <f t="shared" si="6"/>
        <v>1.2916666666666667</v>
      </c>
    </row>
    <row r="26" spans="2:12">
      <c r="C26" s="2">
        <f>SUM(C23:C25)</f>
        <v>60.692999999999998</v>
      </c>
      <c r="D26" s="2">
        <f>SUM(D23:D25)</f>
        <v>67.826000000000008</v>
      </c>
      <c r="E26" s="2">
        <f>SUM(E23:E25)</f>
        <v>63.26</v>
      </c>
      <c r="F26" s="6">
        <f t="shared" si="5"/>
        <v>63.926333333333332</v>
      </c>
      <c r="I26" s="2">
        <f>SUM(I23:I25)</f>
        <v>65.728999999999999</v>
      </c>
      <c r="J26" s="2">
        <f>SUM(J23:J25)</f>
        <v>78.577999999999989</v>
      </c>
      <c r="K26" s="2">
        <f>SUM(K23:K25)</f>
        <v>100.801</v>
      </c>
      <c r="L26" s="6">
        <f t="shared" si="6"/>
        <v>81.702666666666673</v>
      </c>
    </row>
    <row r="35" spans="2:12">
      <c r="B35" s="2" t="s">
        <v>11</v>
      </c>
      <c r="C35" s="2" t="s">
        <v>12</v>
      </c>
      <c r="D35" s="2" t="s">
        <v>14</v>
      </c>
      <c r="E35" s="2" t="s">
        <v>13</v>
      </c>
      <c r="H35" s="2" t="s">
        <v>11</v>
      </c>
      <c r="I35" s="2" t="s">
        <v>12</v>
      </c>
      <c r="J35" s="2" t="s">
        <v>14</v>
      </c>
      <c r="K35" s="2" t="s">
        <v>13</v>
      </c>
    </row>
    <row r="36" spans="2:12">
      <c r="B36" s="2" t="s">
        <v>4</v>
      </c>
      <c r="C36" s="2">
        <v>20.373999999999999</v>
      </c>
      <c r="D36" s="2">
        <v>17.998000000000001</v>
      </c>
      <c r="E36" s="2">
        <v>24.055</v>
      </c>
      <c r="F36" s="6">
        <f>AVERAGE(C36:E36)</f>
        <v>20.809000000000001</v>
      </c>
      <c r="H36" s="2" t="s">
        <v>4</v>
      </c>
      <c r="I36" s="2">
        <v>17.059000000000001</v>
      </c>
      <c r="J36" s="2">
        <v>17.850999999999999</v>
      </c>
      <c r="K36" s="2">
        <v>14.074</v>
      </c>
      <c r="L36" s="6">
        <f>AVERAGE(I36:K36)</f>
        <v>16.327999999999999</v>
      </c>
    </row>
    <row r="37" spans="2:12">
      <c r="B37" s="2" t="s">
        <v>5</v>
      </c>
      <c r="C37" s="2">
        <v>36.223999999999997</v>
      </c>
      <c r="D37" s="2">
        <v>24.824000000000002</v>
      </c>
      <c r="E37" s="2">
        <v>35.314999999999998</v>
      </c>
      <c r="F37" s="6">
        <f t="shared" ref="F37:F39" si="8">AVERAGE(C37:E37)</f>
        <v>32.121000000000002</v>
      </c>
      <c r="H37" s="2" t="s">
        <v>5</v>
      </c>
      <c r="I37" s="2">
        <v>74.626000000000005</v>
      </c>
      <c r="J37" s="2">
        <v>55.170999999999999</v>
      </c>
      <c r="K37" s="2">
        <v>60.390999999999998</v>
      </c>
      <c r="L37" s="6">
        <f t="shared" ref="L37:L39" si="9">AVERAGE(I37:K37)</f>
        <v>63.395999999999994</v>
      </c>
    </row>
    <row r="38" spans="2:12">
      <c r="B38" s="2" t="s">
        <v>6</v>
      </c>
      <c r="C38" s="2">
        <v>0.57099999999999995</v>
      </c>
      <c r="D38" s="2">
        <v>0.53600000000000003</v>
      </c>
      <c r="E38" s="2">
        <v>0.876</v>
      </c>
      <c r="F38" s="6">
        <f t="shared" si="8"/>
        <v>0.66100000000000003</v>
      </c>
      <c r="H38" s="2" t="s">
        <v>6</v>
      </c>
      <c r="I38" s="2">
        <v>0.63800000000000001</v>
      </c>
      <c r="J38" s="2">
        <v>0.55100000000000005</v>
      </c>
      <c r="K38" s="2">
        <v>0.42099999999999999</v>
      </c>
      <c r="L38" s="6">
        <f t="shared" si="9"/>
        <v>0.53666666666666674</v>
      </c>
    </row>
    <row r="39" spans="2:12">
      <c r="C39" s="2">
        <f>SUM(C36:C38)</f>
        <v>57.168999999999997</v>
      </c>
      <c r="D39" s="2">
        <f>SUM(D36:D38)</f>
        <v>43.358000000000004</v>
      </c>
      <c r="E39" s="2">
        <f>SUM(E36:E38)</f>
        <v>60.245999999999995</v>
      </c>
      <c r="F39" s="6">
        <f t="shared" si="8"/>
        <v>53.591000000000001</v>
      </c>
      <c r="I39" s="2">
        <f>SUM(I36:I38)</f>
        <v>92.323000000000008</v>
      </c>
      <c r="J39" s="2">
        <f>SUM(J36:J38)</f>
        <v>73.572999999999993</v>
      </c>
      <c r="K39" s="2">
        <f>SUM(K36:K38)</f>
        <v>74.88600000000001</v>
      </c>
      <c r="L39" s="6">
        <f t="shared" si="9"/>
        <v>80.26066666666668</v>
      </c>
    </row>
  </sheetData>
  <mergeCells count="3">
    <mergeCell ref="B2:E2"/>
    <mergeCell ref="H2:K2"/>
    <mergeCell ref="N2:Q2"/>
  </mergeCells>
  <phoneticPr fontId="1" type="noConversion"/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5B87-27D0-D147-8AB8-1AA9E5A0B6EA}">
  <dimension ref="B2:R10"/>
  <sheetViews>
    <sheetView showGridLines="0" tabSelected="1" workbookViewId="0">
      <selection activeCell="I35" sqref="I35"/>
    </sheetView>
  </sheetViews>
  <sheetFormatPr baseColWidth="10" defaultRowHeight="16"/>
  <cols>
    <col min="1" max="1" width="10.83203125" style="1"/>
    <col min="2" max="2" width="14.1640625" style="1" customWidth="1"/>
    <col min="3" max="4" width="10.83203125" style="1"/>
    <col min="5" max="5" width="13" style="1" customWidth="1"/>
    <col min="6" max="7" width="10.83203125" style="1"/>
    <col min="8" max="8" width="14.33203125" style="1" customWidth="1"/>
    <col min="9" max="10" width="10.83203125" style="1"/>
    <col min="11" max="11" width="13" style="1" customWidth="1"/>
    <col min="12" max="16384" width="10.83203125" style="1"/>
  </cols>
  <sheetData>
    <row r="2" spans="2:18" ht="30">
      <c r="B2" s="4" t="s">
        <v>15</v>
      </c>
      <c r="C2" s="4"/>
      <c r="D2" s="4"/>
      <c r="E2" s="4"/>
      <c r="F2" s="4"/>
      <c r="H2" s="4" t="s">
        <v>16</v>
      </c>
      <c r="I2" s="4"/>
      <c r="J2" s="4"/>
      <c r="K2" s="4"/>
      <c r="L2" s="4"/>
      <c r="N2" s="4" t="s">
        <v>19</v>
      </c>
      <c r="O2" s="4"/>
      <c r="P2" s="4"/>
      <c r="Q2" s="4"/>
      <c r="R2" s="4"/>
    </row>
    <row r="4" spans="2:18" ht="18">
      <c r="B4" s="2"/>
      <c r="C4" s="2" t="s">
        <v>0</v>
      </c>
      <c r="D4" s="2" t="s">
        <v>7</v>
      </c>
      <c r="E4" s="2" t="s">
        <v>11</v>
      </c>
      <c r="F4" s="2" t="s">
        <v>23</v>
      </c>
      <c r="G4" s="2"/>
      <c r="H4" s="2"/>
      <c r="I4" s="2" t="s">
        <v>0</v>
      </c>
      <c r="J4" s="2" t="s">
        <v>7</v>
      </c>
      <c r="K4" s="2" t="s">
        <v>11</v>
      </c>
      <c r="L4" s="2" t="s">
        <v>23</v>
      </c>
      <c r="M4" s="2"/>
      <c r="N4" s="2" t="s">
        <v>4</v>
      </c>
      <c r="O4" s="8" t="s">
        <v>24</v>
      </c>
    </row>
    <row r="5" spans="2:18" ht="18">
      <c r="B5" s="2" t="s">
        <v>4</v>
      </c>
      <c r="C5" s="6">
        <f>Sheet1!F10</f>
        <v>17.604000000000003</v>
      </c>
      <c r="D5" s="6">
        <f>Sheet1!F23</f>
        <v>29.209</v>
      </c>
      <c r="E5" s="6">
        <f>Sheet1!F36</f>
        <v>20.809000000000001</v>
      </c>
      <c r="F5" s="6">
        <f>AVERAGE(C5:E5)</f>
        <v>22.540666666666667</v>
      </c>
      <c r="G5" s="6"/>
      <c r="H5" s="2" t="s">
        <v>4</v>
      </c>
      <c r="I5" s="6">
        <f>Sheet1!L10</f>
        <v>18.573000000000004</v>
      </c>
      <c r="J5" s="6">
        <f>Sheet1!L23</f>
        <v>23.038666666666668</v>
      </c>
      <c r="K5" s="6">
        <f>Sheet1!L36</f>
        <v>16.327999999999999</v>
      </c>
      <c r="L5" s="6">
        <f>AVERAGE(I5:K5)</f>
        <v>19.313222222222223</v>
      </c>
      <c r="M5" s="2"/>
      <c r="N5" s="2" t="s">
        <v>5</v>
      </c>
      <c r="O5" s="8" t="s">
        <v>24</v>
      </c>
    </row>
    <row r="6" spans="2:18" ht="18">
      <c r="B6" s="2" t="s">
        <v>5</v>
      </c>
      <c r="C6" s="6">
        <f>Sheet1!F11</f>
        <v>23.986999999999998</v>
      </c>
      <c r="D6" s="6">
        <f>Sheet1!F24</f>
        <v>32.42133333333333</v>
      </c>
      <c r="E6" s="6">
        <f>Sheet1!F37</f>
        <v>32.121000000000002</v>
      </c>
      <c r="F6" s="6">
        <f t="shared" ref="F6:F8" si="0">AVERAGE(C6:E6)</f>
        <v>29.509777777777781</v>
      </c>
      <c r="G6" s="6"/>
      <c r="H6" s="2" t="s">
        <v>5</v>
      </c>
      <c r="I6" s="6">
        <f>Sheet1!L11</f>
        <v>72.351666666666674</v>
      </c>
      <c r="J6" s="6">
        <f>Sheet1!L24</f>
        <v>57.372333333333337</v>
      </c>
      <c r="K6" s="6">
        <f>Sheet1!L37</f>
        <v>63.395999999999994</v>
      </c>
      <c r="L6" s="6">
        <f t="shared" ref="L6:L8" si="1">AVERAGE(I6:K6)</f>
        <v>64.373333333333335</v>
      </c>
      <c r="M6" s="2"/>
      <c r="N6" s="2" t="s">
        <v>6</v>
      </c>
      <c r="O6" s="8" t="s">
        <v>24</v>
      </c>
    </row>
    <row r="7" spans="2:18" ht="18">
      <c r="B7" s="2" t="s">
        <v>6</v>
      </c>
      <c r="C7" s="6">
        <f>Sheet1!F12</f>
        <v>0.6333333333333333</v>
      </c>
      <c r="D7" s="6">
        <f>Sheet1!F25</f>
        <v>2.2960000000000003</v>
      </c>
      <c r="E7" s="6">
        <f>Sheet1!F38</f>
        <v>0.66100000000000003</v>
      </c>
      <c r="F7" s="6">
        <f t="shared" si="0"/>
        <v>1.1967777777777779</v>
      </c>
      <c r="G7" s="6"/>
      <c r="H7" s="2" t="s">
        <v>6</v>
      </c>
      <c r="I7" s="6">
        <f>Sheet1!L12</f>
        <v>0.63900000000000001</v>
      </c>
      <c r="J7" s="6">
        <f>Sheet1!L25</f>
        <v>1.2916666666666667</v>
      </c>
      <c r="K7" s="6">
        <f>Sheet1!L38</f>
        <v>0.53666666666666674</v>
      </c>
      <c r="L7" s="6">
        <f t="shared" si="1"/>
        <v>0.82244444444444442</v>
      </c>
      <c r="M7" s="2"/>
      <c r="N7" s="2" t="s">
        <v>21</v>
      </c>
      <c r="O7" s="8" t="s">
        <v>24</v>
      </c>
    </row>
    <row r="8" spans="2:18" ht="18">
      <c r="B8" s="2" t="s">
        <v>21</v>
      </c>
      <c r="C8" s="6">
        <f>Sheet1!F13</f>
        <v>42.224333333333334</v>
      </c>
      <c r="D8" s="6">
        <f>Sheet1!F26</f>
        <v>63.926333333333332</v>
      </c>
      <c r="E8" s="6">
        <f>Sheet1!F39</f>
        <v>53.591000000000001</v>
      </c>
      <c r="F8" s="6">
        <f t="shared" si="0"/>
        <v>53.247222222222227</v>
      </c>
      <c r="G8" s="6"/>
      <c r="H8" s="2" t="s">
        <v>21</v>
      </c>
      <c r="I8" s="6">
        <f>Sheet1!L13</f>
        <v>91.563666666666677</v>
      </c>
      <c r="J8" s="6">
        <f>Sheet1!L26</f>
        <v>81.702666666666673</v>
      </c>
      <c r="K8" s="6">
        <f>Sheet1!L39</f>
        <v>80.26066666666668</v>
      </c>
      <c r="L8" s="6">
        <f t="shared" si="1"/>
        <v>84.509000000000015</v>
      </c>
      <c r="M8" s="2"/>
    </row>
    <row r="9" spans="2:18" ht="18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8" ht="18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mergeCells count="3">
    <mergeCell ref="B2:F2"/>
    <mergeCell ref="H2:L2"/>
    <mergeCell ref="N2:R2"/>
  </mergeCells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Final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Zhifeng Wu</dc:creator>
  <cp:lastModifiedBy>Zhifeng Wu</cp:lastModifiedBy>
  <dcterms:created xsi:type="dcterms:W3CDTF">2026-03-08T20:59:23Z</dcterms:created>
  <dcterms:modified xsi:type="dcterms:W3CDTF">2026-03-09T07:33:14Z</dcterms:modified>
</cp:coreProperties>
</file>